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📅 Monthly Tracker" sheetId="2" state="visible" r:id="rId4"/>
    <sheet name="🎓 SUSI Schedule" sheetId="3" state="visible" r:id="rId5"/>
    <sheet name="🔧 Formula Reference" sheetId="4" state="visible" r:id="rId6"/>
    <sheet name="📖 README — Quick Star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<sst xmlns="http://schemas.openxmlformats.org/spreadsheetml/2006/main" count="177" uniqueCount="151">
  <si>
    <t xml:space="preserve">🇮🇪  2026 Irish Student &amp; Part-Time Worker Budget Tracker</t>
  </si>
  <si>
    <t xml:space="preserve">Updated automatically from the Monthly Tracker tab — no manual entry needed here.</t>
  </si>
  <si>
    <t xml:space="preserve">💰 Total Monthly Income</t>
  </si>
  <si>
    <t xml:space="preserve">📤 Total Monthly Expenses</t>
  </si>
  <si>
    <t xml:space="preserve">🍺 Pints Saved</t>
  </si>
  <si>
    <t xml:space="preserve">✅ Remaining Balance This Month</t>
  </si>
  <si>
    <t xml:space="preserve">⏳ Days Until Next SUSI / Payday</t>
  </si>
  <si>
    <t xml:space="preserve">🚦  Category Spend vs. Budget  (Traffic Light)</t>
  </si>
  <si>
    <t xml:space="preserve">Category</t>
  </si>
  <si>
    <t xml:space="preserve">Budgeted</t>
  </si>
  <si>
    <t xml:space="preserve">Actual</t>
  </si>
  <si>
    <t xml:space="preserve">Remaining</t>
  </si>
  <si>
    <t xml:space="preserve">% Used</t>
  </si>
  <si>
    <t xml:space="preserve">Status</t>
  </si>
  <si>
    <t xml:space="preserve">🏠 Rent</t>
  </si>
  <si>
    <t xml:space="preserve">🎓 Student Contrib.</t>
  </si>
  <si>
    <t xml:space="preserve">⚡ Utilities/Bins</t>
  </si>
  <si>
    <t xml:space="preserve">🚌 Transport</t>
  </si>
  <si>
    <t xml:space="preserve">🛒 Groceries</t>
  </si>
  <si>
    <t xml:space="preserve">🍻 Social</t>
  </si>
  <si>
    <t xml:space="preserve">☔ Rainy Day Fund</t>
  </si>
  <si>
    <t xml:space="preserve">📅  Monthly Budget Tracker  —  Enter your data in BLUE cells</t>
  </si>
  <si>
    <t xml:space="preserve">Month / Year:</t>
  </si>
  <si>
    <t xml:space="preserve">💰  INCOME</t>
  </si>
  <si>
    <t xml:space="preserve">Income Source</t>
  </si>
  <si>
    <t xml:space="preserve">Amount Received (€)</t>
  </si>
  <si>
    <t xml:space="preserve">Expected (€)</t>
  </si>
  <si>
    <t xml:space="preserve">Notes</t>
  </si>
  <si>
    <t xml:space="preserve">🎓 SUSI Grant (Monthly Equiv.)</t>
  </si>
  <si>
    <t xml:space="preserve">SUSI pays ~€4,455/yr over 9 months (Sept–May). Enter 0 in June–Aug.</t>
  </si>
  <si>
    <t xml:space="preserve">💼 Part-Time Wages</t>
  </si>
  <si>
    <t xml:space="preserve">~€15/hr × hrs worked. Enter net (after tax/USC/PRSI).</t>
  </si>
  <si>
    <t xml:space="preserve">🎁 One-Off (Birthday/Tax Refund)</t>
  </si>
  <si>
    <t xml:space="preserve">Lump sums only — don't rely on these for recurring bills!</t>
  </si>
  <si>
    <t xml:space="preserve">✅  TOTAL INCOME</t>
  </si>
  <si>
    <t xml:space="preserve">🏠  HOUSING EXPENSES</t>
  </si>
  <si>
    <t xml:space="preserve">Expense</t>
  </si>
  <si>
    <t xml:space="preserve">Actual (€)</t>
  </si>
  <si>
    <t xml:space="preserve">Budget (€)</t>
  </si>
  <si>
    <t xml:space="preserve">HAP-eligible? Check hap.ie</t>
  </si>
  <si>
    <t xml:space="preserve">🎓 Student Contribution Fee</t>
  </si>
  <si>
    <t xml:space="preserve">€3,000/yr — enter monthly spread if paying in instalments</t>
  </si>
  <si>
    <t xml:space="preserve">⚡ Utilities / Bins</t>
  </si>
  <si>
    <t xml:space="preserve">Electric Ireland / Bord Gáis — split with housemates!</t>
  </si>
  <si>
    <t xml:space="preserve">  Housing Sub-Total</t>
  </si>
  <si>
    <t xml:space="preserve">🚌  TRANSPORT EXPENSES</t>
  </si>
  <si>
    <t xml:space="preserve">💳 Leap Card Top-Ups</t>
  </si>
  <si>
    <t xml:space="preserve">Student Leap = 50% off. Top up at Payzone shops.</t>
  </si>
  <si>
    <t xml:space="preserve">🚆 Iarnród Éireann / Bus Éireann</t>
  </si>
  <si>
    <t xml:space="preserve">Young Adult Card = 50% off intercity. Book ahead!</t>
  </si>
  <si>
    <t xml:space="preserve">🚗 Fuel / Taxi</t>
  </si>
  <si>
    <t xml:space="preserve">Splitting an Uber? Enter your share only.</t>
  </si>
  <si>
    <t xml:space="preserve">  Transport Sub-Total</t>
  </si>
  <si>
    <t xml:space="preserve">🛒  LIFESTYLE EXPENSES</t>
  </si>
  <si>
    <t xml:space="preserve">🛒 Groceries (Aldi/Lidl/Tesco)</t>
  </si>
  <si>
    <t xml:space="preserve">~€45/week is very achievable in Aldi. Meal prep = savings.</t>
  </si>
  <si>
    <t xml:space="preserve">🍻 Social (Pints/Nights Out)</t>
  </si>
  <si>
    <t xml:space="preserve">A pint in Dublin = ~€6.50. That's your benchmark.</t>
  </si>
  <si>
    <t xml:space="preserve">🏫 Societies / College Expenses</t>
  </si>
  <si>
    <t xml:space="preserve">Socs fees, printing, stationery etc.</t>
  </si>
  <si>
    <t xml:space="preserve">📱 Phone / Subscriptions</t>
  </si>
  <si>
    <t xml:space="preserve">48, Three, Vodafone PAYG — shop around!</t>
  </si>
  <si>
    <t xml:space="preserve">  Lifestyle Sub-Total</t>
  </si>
  <si>
    <t xml:space="preserve">☔  SAVINGS &amp; RAINY DAY FUND</t>
  </si>
  <si>
    <t xml:space="preserve">Target (€)</t>
  </si>
  <si>
    <t xml:space="preserve">☔ Rainy Day Fund Contribution</t>
  </si>
  <si>
    <t xml:space="preserve">Aim for €500–€1,000 emergency buffer. Even €10/week helps.</t>
  </si>
  <si>
    <t xml:space="preserve">🎯 Savings Goal (Holiday etc.)</t>
  </si>
  <si>
    <t xml:space="preserve">Label your goal here — it makes it real!</t>
  </si>
  <si>
    <t xml:space="preserve">📤  TOTAL EXPENSES (Actual)</t>
  </si>
  <si>
    <t xml:space="preserve">🏦  BUDGET VARIANCE (Budget – Actual)</t>
  </si>
  <si>
    <t xml:space="preserve">💰  NET REMAINING BALANCE</t>
  </si>
  <si>
    <t xml:space="preserve">🍺  THE FUN FORMULAS</t>
  </si>
  <si>
    <t xml:space="preserve">🍺  Pints You Could Buy With Your Savings This Month</t>
  </si>
  <si>
    <t xml:space="preserve">📅  SUSI Payment Date (enter the next one):</t>
  </si>
  <si>
    <t xml:space="preserve">💼  Next Payday (enter your payday):</t>
  </si>
  <si>
    <t xml:space="preserve">⏳  Days Until Next Payment (whichever comes first):</t>
  </si>
  <si>
    <t xml:space="preserve">🎓  SUSI Grant Payment Schedule 2025–2026</t>
  </si>
  <si>
    <t xml:space="preserve">Annual Grant Amount (€) — enter your award letter figure:</t>
  </si>
  <si>
    <t xml:space="preserve">Annual Award (€):</t>
  </si>
  <si>
    <t xml:space="preserve">Monthly Payment:</t>
  </si>
  <si>
    <t xml:space="preserve">Month</t>
  </si>
  <si>
    <t xml:space="preserve">Expected Date</t>
  </si>
  <si>
    <t xml:space="preserve">Amount (€)</t>
  </si>
  <si>
    <t xml:space="preserve">Received (€)</t>
  </si>
  <si>
    <t xml:space="preserve">September 2025</t>
  </si>
  <si>
    <t xml:space="preserve">01/09/2025</t>
  </si>
  <si>
    <t xml:space="preserve">October 2025</t>
  </si>
  <si>
    <t xml:space="preserve">01/10/2025</t>
  </si>
  <si>
    <t xml:space="preserve">November 2025</t>
  </si>
  <si>
    <t xml:space="preserve">01/11/2025</t>
  </si>
  <si>
    <t xml:space="preserve">December 2025</t>
  </si>
  <si>
    <t xml:space="preserve">01/12/2025</t>
  </si>
  <si>
    <t xml:space="preserve">January 2026</t>
  </si>
  <si>
    <t xml:space="preserve">01/01/2026</t>
  </si>
  <si>
    <t xml:space="preserve">February 2026</t>
  </si>
  <si>
    <t xml:space="preserve">01/02/2026</t>
  </si>
  <si>
    <t xml:space="preserve">March 2026</t>
  </si>
  <si>
    <t xml:space="preserve">01/03/2026</t>
  </si>
  <si>
    <t xml:space="preserve">April 2026</t>
  </si>
  <si>
    <t xml:space="preserve">01/04/2026</t>
  </si>
  <si>
    <t xml:space="preserve">May 2026</t>
  </si>
  <si>
    <t xml:space="preserve">01/05/2026</t>
  </si>
  <si>
    <t xml:space="preserve">TOTAL SUSI (Full Year)</t>
  </si>
  <si>
    <t xml:space="preserve">🔧  Formula Reference — Copy-Paste Ready</t>
  </si>
  <si>
    <t xml:space="preserve">Formula Name</t>
  </si>
  <si>
    <t xml:space="preserve">Formula</t>
  </si>
  <si>
    <t xml:space="preserve">What It Does</t>
  </si>
  <si>
    <t xml:space="preserve">Remaining Balance</t>
  </si>
  <si>
    <t xml:space="preserve">'=C9-C34</t>
  </si>
  <si>
    <t xml:space="preserve">Total Income minus Total Expenses on Monthly Tracker</t>
  </si>
  <si>
    <t xml:space="preserve">Days Until Next Payday</t>
  </si>
  <si>
    <t xml:space="preserve">'=MAX(0,MIN(E41,E42)-TODAY())&amp;" days"</t>
  </si>
  <si>
    <t xml:space="preserve">Counts down to the sooner of SUSI or Payday</t>
  </si>
  <si>
    <t xml:space="preserve">Pint-Equivalent Savings</t>
  </si>
  <si>
    <t xml:space="preserve">'=IF(C36&gt;0,FLOOR(C36/6.5,1)&amp;" pints 🍺","Break even or over budget")</t>
  </si>
  <si>
    <t xml:space="preserve">Converts your surplus into Dublin pint-units (€6.50 each)</t>
  </si>
  <si>
    <t xml:space="preserve">SUSI Monthly Amount</t>
  </si>
  <si>
    <t xml:space="preserve">'=AnnualAward/9</t>
  </si>
  <si>
    <t xml:space="preserve">Divides annual SUSI award over 9 payment months</t>
  </si>
  <si>
    <t xml:space="preserve">Traffic Light — On Track</t>
  </si>
  <si>
    <t xml:space="preserve">'=IF(Actual/Budget&lt;=0.8,"🟢 On Track",IF(Actual/Budget&lt;=1,"🟡 Watch Out","🔴 Over Budget!"))</t>
  </si>
  <si>
    <t xml:space="preserve">Green ≤80% used, Amber ≤100%, Red &gt;100%</t>
  </si>
  <si>
    <t xml:space="preserve">Budget Variance</t>
  </si>
  <si>
    <t xml:space="preserve">'=Budgeted - Actual</t>
  </si>
  <si>
    <t xml:space="preserve">Positive = under budget (good). Negative = over budget.</t>
  </si>
  <si>
    <t xml:space="preserve">SUSI Status Check</t>
  </si>
  <si>
    <t xml:space="preserve">'=IF(D6=0,"⏳ Pending",IF(D6&gt;=C6,"✅ Received","⚠️ Short"))</t>
  </si>
  <si>
    <t xml:space="preserve">Checks if SUSI payment arrived and was the right amount</t>
  </si>
  <si>
    <t xml:space="preserve">Part-Time Wage Estimate</t>
  </si>
  <si>
    <t xml:space="preserve">'=HourlyRate * HoursWorked</t>
  </si>
  <si>
    <t xml:space="preserve">Enter €15 as rate and your contracted hours</t>
  </si>
  <si>
    <t xml:space="preserve">📖  Quick Start Guide — 3 Steps to Financial Freedom (or at least fewer overdrafts)</t>
  </si>
  <si>
    <t xml:space="preserve">  STEP 1 — 🎯  Set Your Budgets</t>
  </si>
  <si>
    <t xml:space="preserve">▶</t>
  </si>
  <si>
    <t xml:space="preserve">Go to the '📅 Monthly Tracker' tab.</t>
  </si>
  <si>
    <t xml:space="preserve">In the BLUE cells under the 'Budget (€)' column (Column D), enter how much you PLAN to spend in each category.</t>
  </si>
  <si>
    <t xml:space="preserve">If you get SUSI, open '🎓 SUSI Schedule' and enter your annual award amount in cell B3. It will auto-calculate your monthly payments.</t>
  </si>
  <si>
    <t xml:space="preserve">Tip: Be honest here. A budget built on fantasy is just a wish list.</t>
  </si>
  <si>
    <t xml:space="preserve">  STEP 2 — 💶  Log Your Spending (Weekly is Grand)</t>
  </si>
  <si>
    <t xml:space="preserve">Once a week, sit down for 5 minutes and update the BLUE 'Actual (€)' cells (Column C) on the Monthly Tracker.</t>
  </si>
  <si>
    <t xml:space="preserve">Your Remaining Balance and the Dashboard traffic lights will update instantly.</t>
  </si>
  <si>
    <t xml:space="preserve">Enter your next SUSI date in cell E41 and your Payday in E42 — the countdown timer will do the rest.</t>
  </si>
  <si>
    <t xml:space="preserve">Tip: Link your bank app notifications to remind you — every time you spend, note it down before you forget.</t>
  </si>
  <si>
    <t xml:space="preserve">  STEP 3 — 📊  Review the Dashboard Monthly</t>
  </si>
  <si>
    <t xml:space="preserve">On the last day of each month, open the '📊 Dashboard' tab.</t>
  </si>
  <si>
    <t xml:space="preserve">Check the Traffic Lights: 🟢 = sound, 🟡 = rein it in, 🔴 = we need to talk.</t>
  </si>
  <si>
    <t xml:space="preserve">Check your 🍺 Pint-Equivalent score — a fun way to track real savings!</t>
  </si>
  <si>
    <t xml:space="preserve">Copy the Monthly Tracker tab (right-click → 'Copy to') to start a fresh month. Keep old months for comparison.</t>
  </si>
  <si>
    <t xml:space="preserve">Tip: Set a monthly calendar reminder — 'Budget Review' — so it becomes a habit, not a chore.</t>
  </si>
  <si>
    <t xml:space="preserve">💡  Need help? Open the '🔧 Formula Reference' tab to see exactly what every formula does and where to paste it.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</si>
</sst>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€#,##0.00;&quot;(€&quot;#,##0.00\);\-"/>
    <numFmt numFmtId="166" formatCode="0.0%"/>
    <numFmt numFmtId="167" formatCode="mmmm\ yyyy"/>
    <numFmt numFmtId="168" formatCode="dd/mm/yyyy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22"/>
      <color rgb="FF1A5276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26"/>
      <color rgb="FF1E8449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8"/>
      <color rgb="FFF39C12"/>
      <name val="Arial"/>
      <family val="0"/>
      <charset val="1"/>
    </font>
    <font>
      <b val="true"/>
      <sz val="9"/>
      <color rgb="FFF39C1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5276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b val="true"/>
      <sz val="11"/>
      <color rgb="FFF39C12"/>
      <name val="Arial"/>
      <family val="0"/>
      <charset val="1"/>
    </font>
    <font>
      <b val="true"/>
      <sz val="13"/>
      <color rgb="FFF39C12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9"/>
      <color rgb="FF000000"/>
      <name val="Courier New"/>
      <family val="0"/>
      <charset val="1"/>
    </font>
    <font>
      <sz val="9"/>
      <color rgb="FF1A5276"/>
      <name val="Courier New"/>
      <family val="0"/>
      <charset val="1"/>
    </font>
    <font>
      <sz val="11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5276"/>
        <bgColor rgb="FF1F4E79"/>
      </patternFill>
    </fill>
    <fill>
      <patternFill patternType="solid">
        <fgColor rgb="FFECF0F1"/>
        <bgColor rgb="FFEBF5FB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EF9E7"/>
      </patternFill>
    </fill>
    <fill>
      <patternFill patternType="solid">
        <fgColor rgb="FF2C3E50"/>
        <bgColor rgb="FF1F4E79"/>
      </patternFill>
    </fill>
    <fill>
      <patternFill patternType="solid">
        <fgColor rgb="FFFFFFFF"/>
        <bgColor rgb="FFFEF9E7"/>
      </patternFill>
    </fill>
    <fill>
      <patternFill patternType="solid">
        <fgColor rgb="FFEBF5FB"/>
        <bgColor rgb="FFECF0F1"/>
      </patternFill>
    </fill>
    <fill>
      <patternFill patternType="solid">
        <fgColor rgb="FFD6EAF8"/>
        <bgColor rgb="FFD5F5E3"/>
      </patternFill>
    </fill>
    <fill>
      <patternFill patternType="solid">
        <fgColor rgb="FFFEF9E7"/>
        <bgColor rgb="FFFFFFFF"/>
      </patternFill>
    </fill>
    <fill>
      <patternFill patternType="solid">
        <fgColor rgb="FF1E8449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8C8D"/>
      <rgbColor rgb="FF9999FF"/>
      <rgbColor rgb="FF993366"/>
      <rgbColor rgb="FFFEF9E7"/>
      <rgbColor rgb="FFD6EAF8"/>
      <rgbColor rgb="FF660066"/>
      <rgbColor rgb="FFFF8080"/>
      <rgbColor rgb="FF0066CC"/>
      <rgbColor rgb="FFECF0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B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FF6600"/>
      <rgbColor rgb="FF555555"/>
      <rgbColor rgb="FFAAAAAA"/>
      <rgbColor rgb="FF1A5276"/>
      <rgbColor rgb="FF1E8449"/>
      <rgbColor rgb="FF003300"/>
      <rgbColor rgb="FF333300"/>
      <rgbColor rgb="FF993300"/>
      <rgbColor rgb="FF993366"/>
      <rgbColor rgb="FF1F4E7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8" min="6" style="0" width="1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60" hidden="false" customHeight="true" outlineLevel="0" collapsed="false">
      <c r="A4" s="3" t="n">
        <f aca="false">'📅 Monthly Tracker'!C10</f>
        <v>0</v>
      </c>
      <c r="B4" s="3"/>
      <c r="C4" s="3"/>
      <c r="D4" s="3" t="n">
        <f aca="false">'📅 Monthly Tracker'!C39</f>
        <v>0</v>
      </c>
      <c r="E4" s="3"/>
      <c r="F4" s="3"/>
      <c r="G4" s="4" t="str">
        <f aca="false">'📅 Monthly Tracker'!H45</f>
        <v>Break even 😅</v>
      </c>
      <c r="H4" s="4"/>
    </row>
    <row r="5" customFormat="false" ht="27.75" hidden="false" customHeight="true" outlineLevel="0" collapsed="false">
      <c r="A5" s="5" t="s">
        <v>2</v>
      </c>
      <c r="B5" s="5"/>
      <c r="C5" s="5"/>
      <c r="D5" s="5" t="s">
        <v>3</v>
      </c>
      <c r="E5" s="5"/>
      <c r="F5" s="5"/>
      <c r="G5" s="5" t="s">
        <v>4</v>
      </c>
      <c r="H5" s="5"/>
    </row>
    <row r="6" customFormat="false" ht="49.5" hidden="false" customHeight="true" outlineLevel="0" collapsed="false">
      <c r="A6" s="6" t="n">
        <f aca="false">'📅 Monthly Tracker'!C41</f>
        <v>0</v>
      </c>
      <c r="B6" s="6"/>
      <c r="C6" s="6"/>
      <c r="D6" s="6"/>
      <c r="E6" s="6"/>
      <c r="F6" s="6"/>
      <c r="G6" s="6"/>
      <c r="H6" s="6"/>
    </row>
    <row r="7" customFormat="false" ht="21.75" hidden="false" customHeight="true" outlineLevel="0" collapsed="false">
      <c r="A7" s="7" t="s">
        <v>5</v>
      </c>
      <c r="B7" s="7"/>
      <c r="C7" s="7"/>
      <c r="D7" s="7"/>
      <c r="E7" s="7"/>
      <c r="F7" s="7"/>
      <c r="G7" s="7"/>
      <c r="H7" s="7"/>
    </row>
    <row r="9" customFormat="false" ht="39.75" hidden="false" customHeight="true" outlineLevel="0" collapsed="false">
      <c r="A9" s="8" t="str">
        <f aca="false">'📅 Monthly Tracker'!H49</f>
        <v>0 days to payday ⏳</v>
      </c>
      <c r="B9" s="8"/>
      <c r="C9" s="8"/>
      <c r="D9" s="8"/>
    </row>
    <row r="10" customFormat="false" ht="15" hidden="false" customHeight="false" outlineLevel="0" collapsed="false">
      <c r="A10" s="9" t="s">
        <v>6</v>
      </c>
      <c r="B10" s="9"/>
      <c r="C10" s="9"/>
      <c r="D10" s="9"/>
    </row>
    <row r="12" customFormat="false" ht="27.75" hidden="false" customHeight="true" outlineLevel="0" collapsed="false">
      <c r="A12" s="10" t="s">
        <v>7</v>
      </c>
      <c r="B12" s="10"/>
      <c r="C12" s="10"/>
      <c r="D12" s="10"/>
      <c r="E12" s="10"/>
      <c r="F12" s="10"/>
      <c r="G12" s="10"/>
      <c r="H12" s="10"/>
    </row>
    <row r="13" customFormat="false" ht="21.75" hidden="false" customHeight="true" outlineLevel="0" collapsed="false">
      <c r="A13" s="11" t="s">
        <v>8</v>
      </c>
      <c r="B13" s="11" t="s">
        <v>9</v>
      </c>
      <c r="C13" s="11" t="s">
        <v>10</v>
      </c>
      <c r="D13" s="11" t="s">
        <v>11</v>
      </c>
      <c r="E13" s="11" t="s">
        <v>12</v>
      </c>
      <c r="F13" s="11" t="s">
        <v>13</v>
      </c>
      <c r="G13" s="11"/>
    </row>
    <row r="14" customFormat="false" ht="19.5" hidden="false" customHeight="true" outlineLevel="0" collapsed="false">
      <c r="A14" s="12" t="s">
        <v>14</v>
      </c>
      <c r="B14" s="13" t="n">
        <f aca="false">'📅 Monthly Tracker'!D14</f>
        <v>600</v>
      </c>
      <c r="C14" s="13" t="n">
        <f aca="false">'📅 Monthly Tracker'!C14</f>
        <v>0</v>
      </c>
      <c r="D14" s="13" t="n">
        <f aca="false">B14-C14</f>
        <v>600</v>
      </c>
      <c r="E14" s="14" t="n">
        <f aca="false">IF(B14=0,"N/A",C14/B14)</f>
        <v>0</v>
      </c>
      <c r="F14" s="15" t="str">
        <f aca="false">IF(B14=0,"⚪ N/A",IF(C14/B14&lt;=0.8,"🟢 On Track",IF(C14/B14&lt;=1,"🟡 Watch Out","🔴 Over Budget!")))</f>
        <v>🟢 On Track</v>
      </c>
      <c r="G14" s="16"/>
    </row>
    <row r="15" customFormat="false" ht="19.5" hidden="false" customHeight="true" outlineLevel="0" collapsed="false">
      <c r="A15" s="17" t="s">
        <v>15</v>
      </c>
      <c r="B15" s="18" t="n">
        <f aca="false">'📅 Monthly Tracker'!D15</f>
        <v>0</v>
      </c>
      <c r="C15" s="18" t="n">
        <f aca="false">'📅 Monthly Tracker'!C15</f>
        <v>0</v>
      </c>
      <c r="D15" s="18" t="n">
        <f aca="false">B15-C15</f>
        <v>0</v>
      </c>
      <c r="E15" s="19" t="str">
        <f aca="false">IF(B15=0,"N/A",C15/B15)</f>
        <v>N/A</v>
      </c>
      <c r="F15" s="20" t="str">
        <f aca="false">IF(B15=0,"⚪ N/A",IF(C15/B15&lt;=0.8,"🟢 On Track",IF(C15/B15&lt;=1,"🟡 Watch Out","🔴 Over Budget!")))</f>
        <v>⚪ N/A</v>
      </c>
      <c r="G15" s="16"/>
    </row>
    <row r="16" customFormat="false" ht="19.5" hidden="false" customHeight="true" outlineLevel="0" collapsed="false">
      <c r="A16" s="12" t="s">
        <v>16</v>
      </c>
      <c r="B16" s="13" t="n">
        <f aca="false">'📅 Monthly Tracker'!D16</f>
        <v>60</v>
      </c>
      <c r="C16" s="13" t="n">
        <f aca="false">'📅 Monthly Tracker'!C16</f>
        <v>0</v>
      </c>
      <c r="D16" s="13" t="n">
        <f aca="false">B16-C16</f>
        <v>60</v>
      </c>
      <c r="E16" s="14" t="n">
        <f aca="false">IF(B16=0,"N/A",C16/B16)</f>
        <v>0</v>
      </c>
      <c r="F16" s="15" t="str">
        <f aca="false">IF(B16=0,"⚪ N/A",IF(C16/B16&lt;=0.8,"🟢 On Track",IF(C16/B16&lt;=1,"🟡 Watch Out","🔴 Over Budget!")))</f>
        <v>🟢 On Track</v>
      </c>
      <c r="G16" s="16"/>
    </row>
    <row r="17" customFormat="false" ht="19.5" hidden="false" customHeight="true" outlineLevel="0" collapsed="false">
      <c r="A17" s="17" t="s">
        <v>17</v>
      </c>
      <c r="B17" s="18" t="n">
        <f aca="false">'📅 Monthly Tracker'!D24</f>
        <v>120</v>
      </c>
      <c r="C17" s="18" t="n">
        <f aca="false">'📅 Monthly Tracker'!C24</f>
        <v>0</v>
      </c>
      <c r="D17" s="18" t="n">
        <f aca="false">B17-C17</f>
        <v>120</v>
      </c>
      <c r="E17" s="19" t="n">
        <f aca="false">IF(B17=0,"N/A",C17/B17)</f>
        <v>0</v>
      </c>
      <c r="F17" s="20" t="str">
        <f aca="false">IF(B17=0,"⚪ N/A",IF(C17/B17&lt;=0.8,"🟢 On Track",IF(C17/B17&lt;=1,"🟡 Watch Out","🔴 Over Budget!")))</f>
        <v>🟢 On Track</v>
      </c>
      <c r="G17" s="16"/>
    </row>
    <row r="18" customFormat="false" ht="19.5" hidden="false" customHeight="true" outlineLevel="0" collapsed="false">
      <c r="A18" s="12" t="s">
        <v>18</v>
      </c>
      <c r="B18" s="13" t="n">
        <f aca="false">'📅 Monthly Tracker'!D28</f>
        <v>180</v>
      </c>
      <c r="C18" s="13" t="n">
        <f aca="false">'📅 Monthly Tracker'!C28</f>
        <v>0</v>
      </c>
      <c r="D18" s="13" t="n">
        <f aca="false">B18-C18</f>
        <v>180</v>
      </c>
      <c r="E18" s="14" t="n">
        <f aca="false">IF(B18=0,"N/A",C18/B18)</f>
        <v>0</v>
      </c>
      <c r="F18" s="15" t="str">
        <f aca="false">IF(B18=0,"⚪ N/A",IF(C18/B18&lt;=0.8,"🟢 On Track",IF(C18/B18&lt;=1,"🟡 Watch Out","🔴 Over Budget!")))</f>
        <v>🟢 On Track</v>
      </c>
      <c r="G18" s="16"/>
    </row>
    <row r="19" customFormat="false" ht="19.5" hidden="false" customHeight="true" outlineLevel="0" collapsed="false">
      <c r="A19" s="17" t="s">
        <v>19</v>
      </c>
      <c r="B19" s="18" t="n">
        <f aca="false">'📅 Monthly Tracker'!D29</f>
        <v>80</v>
      </c>
      <c r="C19" s="18" t="n">
        <f aca="false">'📅 Monthly Tracker'!C29</f>
        <v>0</v>
      </c>
      <c r="D19" s="18" t="n">
        <f aca="false">B19-C19</f>
        <v>80</v>
      </c>
      <c r="E19" s="19" t="n">
        <f aca="false">IF(B19=0,"N/A",C19/B19)</f>
        <v>0</v>
      </c>
      <c r="F19" s="20" t="str">
        <f aca="false">IF(B19=0,"⚪ N/A",IF(C19/B19&lt;=0.8,"🟢 On Track",IF(C19/B19&lt;=1,"🟡 Watch Out","🔴 Over Budget!")))</f>
        <v>🟢 On Track</v>
      </c>
      <c r="G19" s="16"/>
    </row>
    <row r="20" customFormat="false" ht="19.5" hidden="false" customHeight="true" outlineLevel="0" collapsed="false">
      <c r="A20" s="12" t="s">
        <v>20</v>
      </c>
      <c r="B20" s="13" t="n">
        <f aca="false">'📅 Monthly Tracker'!D36</f>
        <v>50</v>
      </c>
      <c r="C20" s="13" t="n">
        <f aca="false">'📅 Monthly Tracker'!C36</f>
        <v>0</v>
      </c>
      <c r="D20" s="13" t="n">
        <f aca="false">B20-C20</f>
        <v>50</v>
      </c>
      <c r="E20" s="14" t="n">
        <f aca="false">IF(B20=0,"N/A",C20/B20)</f>
        <v>0</v>
      </c>
      <c r="F20" s="15" t="str">
        <f aca="false">IF(B20=0,"⚪ N/A",IF(C20/B20&lt;=0.8,"🟢 On Track",IF(C20/B20&lt;=1,"🟡 Watch Out","🔴 Over Budget!")))</f>
        <v>🟢 On Track</v>
      </c>
      <c r="G20" s="16"/>
    </row>
  </sheetData>
  <mergeCells count="13">
    <mergeCell ref="A1:H1"/>
    <mergeCell ref="A2:H2"/>
    <mergeCell ref="A4:C4"/>
    <mergeCell ref="D4:F4"/>
    <mergeCell ref="G4:H4"/>
    <mergeCell ref="A5:C5"/>
    <mergeCell ref="D5:F5"/>
    <mergeCell ref="G5:H5"/>
    <mergeCell ref="A6:H6"/>
    <mergeCell ref="A7:H7"/>
    <mergeCell ref="A9:D9"/>
    <mergeCell ref="A10:D10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  <col collapsed="false" customWidth="true" hidden="false" outlineLevel="0" max="5" min="5" style="0" width="22"/>
    <col collapsed="false" customWidth="true" hidden="false" outlineLevel="0" max="7" min="6" style="0" width="18"/>
    <col collapsed="false" customWidth="true" hidden="false" outlineLevel="0" max="8" min="8" style="0" width="28"/>
  </cols>
  <sheetData>
    <row r="1" customFormat="false" ht="36" hidden="false" customHeight="true" outlineLevel="0" collapsed="false">
      <c r="A1" s="21" t="s">
        <v>21</v>
      </c>
      <c r="B1" s="21"/>
      <c r="C1" s="21"/>
      <c r="D1" s="21"/>
      <c r="E1" s="21"/>
      <c r="F1" s="21"/>
      <c r="G1" s="21"/>
      <c r="H1" s="21"/>
    </row>
    <row r="2" customFormat="false" ht="21.75" hidden="false" customHeight="true" outlineLevel="0" collapsed="false">
      <c r="A2" s="22" t="s">
        <v>22</v>
      </c>
      <c r="B2" s="23" t="n">
        <f aca="false">DATE(2026,1,1)</f>
        <v>46023</v>
      </c>
    </row>
    <row r="3" customFormat="false" ht="7.5" hidden="false" customHeight="true" outlineLevel="0" collapsed="false"/>
    <row r="4" customFormat="false" ht="24" hidden="false" customHeight="true" outlineLevel="0" collapsed="false">
      <c r="A4" s="24" t="s">
        <v>23</v>
      </c>
      <c r="B4" s="24"/>
      <c r="C4" s="24"/>
      <c r="D4" s="24"/>
      <c r="E4" s="24"/>
      <c r="F4" s="24"/>
      <c r="G4" s="24"/>
      <c r="H4" s="24"/>
    </row>
    <row r="5" customFormat="false" ht="19.5" hidden="false" customHeight="true" outlineLevel="0" collapsed="false">
      <c r="A5" s="25" t="s">
        <v>24</v>
      </c>
      <c r="B5" s="25"/>
      <c r="C5" s="25" t="s">
        <v>25</v>
      </c>
      <c r="D5" s="25" t="s">
        <v>26</v>
      </c>
      <c r="E5" s="25" t="s">
        <v>27</v>
      </c>
      <c r="F5" s="25"/>
      <c r="G5" s="25"/>
      <c r="H5" s="25"/>
    </row>
    <row r="6" customFormat="false" ht="19.5" hidden="false" customHeight="true" outlineLevel="0" collapsed="false">
      <c r="A6" s="26" t="s">
        <v>28</v>
      </c>
      <c r="B6" s="27"/>
      <c r="C6" s="28"/>
      <c r="D6" s="28" t="n">
        <v>495</v>
      </c>
      <c r="E6" s="29" t="s">
        <v>29</v>
      </c>
      <c r="F6" s="27"/>
      <c r="G6" s="27"/>
      <c r="H6" s="27"/>
    </row>
    <row r="7" customFormat="false" ht="19.5" hidden="false" customHeight="true" outlineLevel="0" collapsed="false">
      <c r="A7" s="30" t="s">
        <v>30</v>
      </c>
      <c r="B7" s="31"/>
      <c r="C7" s="32"/>
      <c r="D7" s="32" t="n">
        <v>600</v>
      </c>
      <c r="E7" s="33" t="s">
        <v>31</v>
      </c>
      <c r="F7" s="31"/>
      <c r="G7" s="31"/>
      <c r="H7" s="31"/>
    </row>
    <row r="8" customFormat="false" ht="19.5" hidden="false" customHeight="true" outlineLevel="0" collapsed="false">
      <c r="A8" s="26" t="s">
        <v>32</v>
      </c>
      <c r="B8" s="27"/>
      <c r="C8" s="28"/>
      <c r="D8" s="28" t="n">
        <v>0</v>
      </c>
      <c r="E8" s="29" t="s">
        <v>33</v>
      </c>
      <c r="F8" s="27"/>
      <c r="G8" s="27"/>
      <c r="H8" s="27"/>
    </row>
    <row r="9" customFormat="false" ht="3.75" hidden="false" customHeight="true" outlineLevel="0" collapsed="false">
      <c r="D9" s="34"/>
    </row>
    <row r="10" customFormat="false" ht="25.5" hidden="false" customHeight="true" outlineLevel="0" collapsed="false">
      <c r="A10" s="35" t="s">
        <v>34</v>
      </c>
      <c r="B10" s="35"/>
      <c r="C10" s="36" t="n">
        <f aca="false">SUM(C6:C8)</f>
        <v>0</v>
      </c>
      <c r="D10" s="37" t="n">
        <f aca="false">SUM(D6:D8)</f>
        <v>1095</v>
      </c>
    </row>
    <row r="11" customFormat="false" ht="9.75" hidden="false" customHeight="true" outlineLevel="0" collapsed="false"/>
    <row r="12" customFormat="false" ht="24" hidden="false" customHeight="true" outlineLevel="0" collapsed="false">
      <c r="A12" s="24" t="s">
        <v>35</v>
      </c>
      <c r="B12" s="24"/>
      <c r="C12" s="24"/>
      <c r="D12" s="24"/>
      <c r="E12" s="24"/>
      <c r="F12" s="24"/>
      <c r="G12" s="24"/>
      <c r="H12" s="24"/>
    </row>
    <row r="13" customFormat="false" ht="19.5" hidden="false" customHeight="true" outlineLevel="0" collapsed="false">
      <c r="A13" s="25" t="s">
        <v>36</v>
      </c>
      <c r="B13" s="25"/>
      <c r="C13" s="25" t="s">
        <v>37</v>
      </c>
      <c r="D13" s="25" t="s">
        <v>38</v>
      </c>
      <c r="E13" s="25" t="s">
        <v>27</v>
      </c>
      <c r="F13" s="25"/>
      <c r="G13" s="25"/>
      <c r="H13" s="25"/>
    </row>
    <row r="14" customFormat="false" ht="19.5" hidden="false" customHeight="true" outlineLevel="0" collapsed="false">
      <c r="A14" s="26" t="s">
        <v>14</v>
      </c>
      <c r="B14" s="27"/>
      <c r="C14" s="28"/>
      <c r="D14" s="28" t="n">
        <v>600</v>
      </c>
      <c r="E14" s="29" t="s">
        <v>39</v>
      </c>
      <c r="F14" s="27"/>
      <c r="G14" s="27"/>
      <c r="H14" s="27"/>
    </row>
    <row r="15" customFormat="false" ht="19.5" hidden="false" customHeight="true" outlineLevel="0" collapsed="false">
      <c r="A15" s="30" t="s">
        <v>40</v>
      </c>
      <c r="B15" s="31"/>
      <c r="C15" s="32"/>
      <c r="D15" s="32" t="n">
        <v>0</v>
      </c>
      <c r="E15" s="33" t="s">
        <v>41</v>
      </c>
      <c r="F15" s="31"/>
      <c r="G15" s="31"/>
      <c r="H15" s="31"/>
    </row>
    <row r="16" customFormat="false" ht="19.5" hidden="false" customHeight="true" outlineLevel="0" collapsed="false">
      <c r="A16" s="26" t="s">
        <v>42</v>
      </c>
      <c r="B16" s="27"/>
      <c r="C16" s="28"/>
      <c r="D16" s="28" t="n">
        <v>60</v>
      </c>
      <c r="E16" s="29" t="s">
        <v>43</v>
      </c>
      <c r="F16" s="27"/>
      <c r="G16" s="27"/>
      <c r="H16" s="27"/>
    </row>
    <row r="17" customFormat="false" ht="21.75" hidden="false" customHeight="true" outlineLevel="0" collapsed="false">
      <c r="A17" s="38" t="s">
        <v>44</v>
      </c>
      <c r="B17" s="38"/>
      <c r="C17" s="39" t="n">
        <f aca="false">SUM(C14:C16)</f>
        <v>0</v>
      </c>
      <c r="D17" s="39" t="n">
        <f aca="false">SUM(D14:D16)</f>
        <v>660</v>
      </c>
    </row>
    <row r="18" customFormat="false" ht="9.75" hidden="false" customHeight="true" outlineLevel="0" collapsed="false"/>
    <row r="19" customFormat="false" ht="24" hidden="false" customHeight="true" outlineLevel="0" collapsed="false">
      <c r="A19" s="24" t="s">
        <v>45</v>
      </c>
      <c r="B19" s="24"/>
      <c r="C19" s="24"/>
      <c r="D19" s="24"/>
      <c r="E19" s="24"/>
      <c r="F19" s="24"/>
      <c r="G19" s="24"/>
      <c r="H19" s="24"/>
    </row>
    <row r="20" customFormat="false" ht="19.5" hidden="false" customHeight="true" outlineLevel="0" collapsed="false">
      <c r="A20" s="25" t="s">
        <v>36</v>
      </c>
      <c r="B20" s="25"/>
      <c r="C20" s="25" t="s">
        <v>37</v>
      </c>
      <c r="D20" s="25" t="s">
        <v>38</v>
      </c>
      <c r="E20" s="25" t="s">
        <v>27</v>
      </c>
      <c r="F20" s="25"/>
      <c r="G20" s="25"/>
      <c r="H20" s="25"/>
    </row>
    <row r="21" customFormat="false" ht="19.5" hidden="false" customHeight="true" outlineLevel="0" collapsed="false">
      <c r="A21" s="30" t="s">
        <v>46</v>
      </c>
      <c r="B21" s="31"/>
      <c r="C21" s="32"/>
      <c r="D21" s="32" t="n">
        <v>60</v>
      </c>
      <c r="E21" s="33" t="s">
        <v>47</v>
      </c>
      <c r="F21" s="31"/>
      <c r="G21" s="31"/>
      <c r="H21" s="31"/>
    </row>
    <row r="22" customFormat="false" ht="19.5" hidden="false" customHeight="true" outlineLevel="0" collapsed="false">
      <c r="A22" s="26" t="s">
        <v>48</v>
      </c>
      <c r="B22" s="27"/>
      <c r="C22" s="28"/>
      <c r="D22" s="28" t="n">
        <v>40</v>
      </c>
      <c r="E22" s="29" t="s">
        <v>49</v>
      </c>
      <c r="F22" s="27"/>
      <c r="G22" s="27"/>
      <c r="H22" s="27"/>
    </row>
    <row r="23" customFormat="false" ht="19.5" hidden="false" customHeight="true" outlineLevel="0" collapsed="false">
      <c r="A23" s="30" t="s">
        <v>50</v>
      </c>
      <c r="B23" s="31"/>
      <c r="C23" s="32"/>
      <c r="D23" s="32" t="n">
        <v>20</v>
      </c>
      <c r="E23" s="33" t="s">
        <v>51</v>
      </c>
      <c r="F23" s="31"/>
      <c r="G23" s="31"/>
      <c r="H23" s="31"/>
    </row>
    <row r="24" customFormat="false" ht="21.75" hidden="false" customHeight="true" outlineLevel="0" collapsed="false">
      <c r="A24" s="38" t="s">
        <v>52</v>
      </c>
      <c r="B24" s="38"/>
      <c r="C24" s="39" t="n">
        <f aca="false">SUM(C21:C23)</f>
        <v>0</v>
      </c>
      <c r="D24" s="39" t="n">
        <f aca="false">SUM(D21:D23)</f>
        <v>120</v>
      </c>
    </row>
    <row r="25" customFormat="false" ht="9.75" hidden="false" customHeight="true" outlineLevel="0" collapsed="false"/>
    <row r="26" customFormat="false" ht="24" hidden="false" customHeight="true" outlineLevel="0" collapsed="false">
      <c r="A26" s="24" t="s">
        <v>53</v>
      </c>
      <c r="B26" s="24"/>
      <c r="C26" s="24"/>
      <c r="D26" s="24"/>
      <c r="E26" s="24"/>
      <c r="F26" s="24"/>
      <c r="G26" s="24"/>
      <c r="H26" s="24"/>
    </row>
    <row r="27" customFormat="false" ht="19.5" hidden="false" customHeight="true" outlineLevel="0" collapsed="false">
      <c r="A27" s="25" t="s">
        <v>36</v>
      </c>
      <c r="B27" s="25"/>
      <c r="C27" s="25" t="s">
        <v>37</v>
      </c>
      <c r="D27" s="25" t="s">
        <v>38</v>
      </c>
      <c r="E27" s="25" t="s">
        <v>27</v>
      </c>
      <c r="F27" s="25"/>
      <c r="G27" s="25"/>
      <c r="H27" s="25"/>
    </row>
    <row r="28" customFormat="false" ht="19.5" hidden="false" customHeight="true" outlineLevel="0" collapsed="false">
      <c r="A28" s="26" t="s">
        <v>54</v>
      </c>
      <c r="B28" s="27"/>
      <c r="C28" s="28"/>
      <c r="D28" s="28" t="n">
        <v>180</v>
      </c>
      <c r="E28" s="29" t="s">
        <v>55</v>
      </c>
      <c r="F28" s="27"/>
      <c r="G28" s="27"/>
      <c r="H28" s="27"/>
    </row>
    <row r="29" customFormat="false" ht="19.5" hidden="false" customHeight="true" outlineLevel="0" collapsed="false">
      <c r="A29" s="30" t="s">
        <v>56</v>
      </c>
      <c r="B29" s="31"/>
      <c r="C29" s="32"/>
      <c r="D29" s="32" t="n">
        <v>80</v>
      </c>
      <c r="E29" s="33" t="s">
        <v>57</v>
      </c>
      <c r="F29" s="31"/>
      <c r="G29" s="31"/>
      <c r="H29" s="31"/>
    </row>
    <row r="30" customFormat="false" ht="19.5" hidden="false" customHeight="true" outlineLevel="0" collapsed="false">
      <c r="A30" s="26" t="s">
        <v>58</v>
      </c>
      <c r="B30" s="27"/>
      <c r="C30" s="28"/>
      <c r="D30" s="28" t="n">
        <v>20</v>
      </c>
      <c r="E30" s="29" t="s">
        <v>59</v>
      </c>
      <c r="F30" s="27"/>
      <c r="G30" s="27"/>
      <c r="H30" s="27"/>
    </row>
    <row r="31" customFormat="false" ht="19.5" hidden="false" customHeight="true" outlineLevel="0" collapsed="false">
      <c r="A31" s="30" t="s">
        <v>60</v>
      </c>
      <c r="B31" s="31"/>
      <c r="C31" s="32"/>
      <c r="D31" s="32" t="n">
        <v>30</v>
      </c>
      <c r="E31" s="33" t="s">
        <v>61</v>
      </c>
      <c r="F31" s="31"/>
      <c r="G31" s="31"/>
      <c r="H31" s="31"/>
    </row>
    <row r="32" customFormat="false" ht="21.75" hidden="false" customHeight="true" outlineLevel="0" collapsed="false">
      <c r="A32" s="38" t="s">
        <v>62</v>
      </c>
      <c r="B32" s="38"/>
      <c r="C32" s="39" t="n">
        <f aca="false">SUM(C28:C31)</f>
        <v>0</v>
      </c>
      <c r="D32" s="39" t="n">
        <f aca="false">SUM(D28:D31)</f>
        <v>310</v>
      </c>
    </row>
    <row r="33" customFormat="false" ht="9.75" hidden="false" customHeight="true" outlineLevel="0" collapsed="false"/>
    <row r="34" customFormat="false" ht="24" hidden="false" customHeight="true" outlineLevel="0" collapsed="false">
      <c r="A34" s="24" t="s">
        <v>63</v>
      </c>
      <c r="B34" s="24"/>
      <c r="C34" s="24"/>
      <c r="D34" s="24"/>
      <c r="E34" s="24"/>
      <c r="F34" s="24"/>
      <c r="G34" s="24"/>
      <c r="H34" s="24"/>
    </row>
    <row r="35" customFormat="false" ht="19.5" hidden="false" customHeight="true" outlineLevel="0" collapsed="false">
      <c r="A35" s="25" t="s">
        <v>8</v>
      </c>
      <c r="B35" s="25"/>
      <c r="C35" s="25" t="s">
        <v>37</v>
      </c>
      <c r="D35" s="25" t="s">
        <v>64</v>
      </c>
      <c r="E35" s="25" t="s">
        <v>27</v>
      </c>
      <c r="F35" s="25"/>
      <c r="G35" s="25"/>
      <c r="H35" s="25"/>
    </row>
    <row r="36" customFormat="false" ht="19.5" hidden="false" customHeight="true" outlineLevel="0" collapsed="false">
      <c r="A36" s="26" t="s">
        <v>65</v>
      </c>
      <c r="B36" s="27"/>
      <c r="C36" s="28"/>
      <c r="D36" s="28" t="n">
        <v>50</v>
      </c>
      <c r="E36" s="29" t="s">
        <v>66</v>
      </c>
      <c r="F36" s="27"/>
      <c r="G36" s="27"/>
      <c r="H36" s="27"/>
    </row>
    <row r="37" customFormat="false" ht="19.5" hidden="false" customHeight="true" outlineLevel="0" collapsed="false">
      <c r="A37" s="30" t="s">
        <v>67</v>
      </c>
      <c r="B37" s="31"/>
      <c r="C37" s="32"/>
      <c r="D37" s="32" t="n">
        <v>30</v>
      </c>
      <c r="E37" s="33" t="s">
        <v>68</v>
      </c>
      <c r="F37" s="31"/>
      <c r="G37" s="31"/>
      <c r="H37" s="31"/>
    </row>
    <row r="38" customFormat="false" ht="9.75" hidden="false" customHeight="true" outlineLevel="0" collapsed="false"/>
    <row r="39" customFormat="false" ht="27.75" hidden="false" customHeight="true" outlineLevel="0" collapsed="false">
      <c r="A39" s="40" t="s">
        <v>69</v>
      </c>
      <c r="B39" s="40"/>
      <c r="C39" s="41" t="n">
        <f aca="false">C17+C24+C32+C36+C37</f>
        <v>0</v>
      </c>
      <c r="D39" s="41" t="n">
        <f aca="false">D17+D24+D32+D36+D37</f>
        <v>1170</v>
      </c>
      <c r="E39" s="42"/>
      <c r="F39" s="42"/>
      <c r="G39" s="42"/>
      <c r="H39" s="42"/>
    </row>
    <row r="40" customFormat="false" ht="27.75" hidden="false" customHeight="true" outlineLevel="0" collapsed="false">
      <c r="A40" s="43" t="s">
        <v>70</v>
      </c>
      <c r="B40" s="43"/>
      <c r="C40" s="44" t="n">
        <f aca="false">D39-C39</f>
        <v>1170</v>
      </c>
      <c r="D40" s="42"/>
      <c r="E40" s="42"/>
      <c r="F40" s="42"/>
      <c r="G40" s="42"/>
      <c r="H40" s="42"/>
    </row>
    <row r="41" customFormat="false" ht="27.75" hidden="false" customHeight="true" outlineLevel="0" collapsed="false">
      <c r="A41" s="35" t="s">
        <v>71</v>
      </c>
      <c r="B41" s="35"/>
      <c r="C41" s="36" t="n">
        <f aca="false">C10-C39</f>
        <v>0</v>
      </c>
      <c r="D41" s="42"/>
      <c r="E41" s="42"/>
      <c r="F41" s="42"/>
      <c r="G41" s="42"/>
      <c r="H41" s="42"/>
    </row>
    <row r="42" customFormat="false" ht="27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</row>
    <row r="43" customFormat="false" ht="13.5" hidden="false" customHeight="true" outlineLevel="0" collapsed="false"/>
    <row r="44" customFormat="false" ht="25.5" hidden="false" customHeight="true" outlineLevel="0" collapsed="false">
      <c r="A44" s="24" t="s">
        <v>72</v>
      </c>
      <c r="B44" s="24"/>
      <c r="C44" s="24"/>
      <c r="D44" s="24"/>
      <c r="E44" s="24"/>
      <c r="F44" s="24"/>
      <c r="G44" s="24"/>
      <c r="H44" s="24"/>
    </row>
    <row r="45" customFormat="false" ht="24" hidden="false" customHeight="true" outlineLevel="0" collapsed="false">
      <c r="A45" s="45" t="s">
        <v>73</v>
      </c>
      <c r="B45" s="45"/>
      <c r="C45" s="45"/>
      <c r="D45" s="45"/>
      <c r="E45" s="45"/>
      <c r="F45" s="45"/>
      <c r="G45" s="45"/>
      <c r="H45" s="46" t="str">
        <f aca="false">IF(C41&gt;0,FLOOR(C41/6.5,1)&amp;" pints 🍺",IF(C41=0,"Break even 😅","You're in the red, pal 😬"))</f>
        <v>Break even 😅</v>
      </c>
    </row>
    <row r="46" customFormat="false" ht="21.75" hidden="false" customHeight="true" outlineLevel="0" collapsed="false">
      <c r="A46" s="45" t="s">
        <v>74</v>
      </c>
      <c r="B46" s="45"/>
      <c r="C46" s="45"/>
      <c r="D46" s="45"/>
      <c r="E46" s="47" t="n">
        <f aca="false">DATE(2026,2,1)</f>
        <v>46054</v>
      </c>
    </row>
    <row r="47" customFormat="false" ht="21.75" hidden="false" customHeight="true" outlineLevel="0" collapsed="false">
      <c r="A47" s="45" t="s">
        <v>75</v>
      </c>
      <c r="B47" s="45"/>
      <c r="C47" s="45"/>
      <c r="D47" s="45"/>
      <c r="E47" s="47" t="n">
        <f aca="false">DATE(2026,1,25)</f>
        <v>46047</v>
      </c>
    </row>
    <row r="48" customFormat="false" ht="24" hidden="false" customHeight="true" outlineLevel="0" collapsed="false">
      <c r="A48" s="45" t="s">
        <v>76</v>
      </c>
      <c r="B48" s="45"/>
      <c r="C48" s="45"/>
      <c r="D48" s="45"/>
      <c r="E48" s="45"/>
      <c r="F48" s="45"/>
      <c r="G48" s="45"/>
      <c r="H48" s="48" t="str">
        <f aca="true">MAX(0,MIN(E46,E47)-TODAY())&amp;" days"</f>
        <v>0 days</v>
      </c>
    </row>
    <row r="49" customFormat="false" ht="15" hidden="false" customHeight="false" outlineLevel="0" collapsed="false">
      <c r="H49" s="49" t="str">
        <f aca="true">MAX(0,MIN(E46,E47)-TODAY())&amp;" days to payday ⏳"</f>
        <v>0 days to payday ⏳</v>
      </c>
    </row>
  </sheetData>
  <mergeCells count="18">
    <mergeCell ref="A1:H1"/>
    <mergeCell ref="A4:H4"/>
    <mergeCell ref="A10:B10"/>
    <mergeCell ref="A12:H12"/>
    <mergeCell ref="A17:B17"/>
    <mergeCell ref="A19:H19"/>
    <mergeCell ref="A24:B24"/>
    <mergeCell ref="A26:H26"/>
    <mergeCell ref="A32:B32"/>
    <mergeCell ref="A34:H34"/>
    <mergeCell ref="A39:B39"/>
    <mergeCell ref="A40:B40"/>
    <mergeCell ref="A41:B41"/>
    <mergeCell ref="A44:H44"/>
    <mergeCell ref="A45:G45"/>
    <mergeCell ref="A46:D46"/>
    <mergeCell ref="A47:D47"/>
    <mergeCell ref="A48:G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20"/>
    <col collapsed="false" customWidth="true" hidden="false" outlineLevel="0" max="5" min="5" style="0" width="28"/>
  </cols>
  <sheetData>
    <row r="1" customFormat="false" ht="36" hidden="false" customHeight="true" outlineLevel="0" collapsed="false">
      <c r="A1" s="21" t="s">
        <v>77</v>
      </c>
      <c r="B1" s="21"/>
      <c r="C1" s="21"/>
      <c r="D1" s="21"/>
      <c r="E1" s="21"/>
    </row>
    <row r="2" customFormat="false" ht="15" hidden="false" customHeight="false" outlineLevel="0" collapsed="false">
      <c r="A2" s="50" t="s">
        <v>78</v>
      </c>
      <c r="B2" s="50"/>
      <c r="C2" s="50"/>
      <c r="D2" s="50"/>
      <c r="E2" s="50"/>
    </row>
    <row r="3" customFormat="false" ht="24" hidden="false" customHeight="true" outlineLevel="0" collapsed="false">
      <c r="A3" s="22" t="s">
        <v>79</v>
      </c>
      <c r="B3" s="51" t="n">
        <v>4455</v>
      </c>
      <c r="C3" s="22" t="s">
        <v>80</v>
      </c>
      <c r="D3" s="52" t="n">
        <f aca="false">B3/9</f>
        <v>495</v>
      </c>
    </row>
    <row r="5" customFormat="false" ht="21.75" hidden="false" customHeight="true" outlineLevel="0" collapsed="false">
      <c r="A5" s="11" t="s">
        <v>81</v>
      </c>
      <c r="B5" s="11" t="s">
        <v>82</v>
      </c>
      <c r="C5" s="11" t="s">
        <v>83</v>
      </c>
      <c r="D5" s="11" t="s">
        <v>84</v>
      </c>
      <c r="E5" s="11" t="s">
        <v>13</v>
      </c>
    </row>
    <row r="6" customFormat="false" ht="19.5" hidden="false" customHeight="true" outlineLevel="0" collapsed="false">
      <c r="A6" s="53" t="s">
        <v>85</v>
      </c>
      <c r="B6" s="53" t="s">
        <v>86</v>
      </c>
      <c r="C6" s="13" t="n">
        <f aca="false">$D$3</f>
        <v>495</v>
      </c>
      <c r="D6" s="54" t="n">
        <v>0</v>
      </c>
      <c r="E6" s="15" t="str">
        <f aca="false">IF(D6=0,"⏳ Pending",IF(D6&gt;=C6,"✅ Received","⚠️ Short — check with SUSI"))</f>
        <v>⏳ Pending</v>
      </c>
    </row>
    <row r="7" customFormat="false" ht="19.5" hidden="false" customHeight="true" outlineLevel="0" collapsed="false">
      <c r="A7" s="55" t="s">
        <v>87</v>
      </c>
      <c r="B7" s="55" t="s">
        <v>88</v>
      </c>
      <c r="C7" s="18" t="n">
        <f aca="false">$D$3</f>
        <v>495</v>
      </c>
      <c r="D7" s="54" t="n">
        <v>0</v>
      </c>
      <c r="E7" s="20" t="str">
        <f aca="false">IF(D7=0,"⏳ Pending",IF(D7&gt;=C7,"✅ Received","⚠️ Short — check with SUSI"))</f>
        <v>⏳ Pending</v>
      </c>
    </row>
    <row r="8" customFormat="false" ht="19.5" hidden="false" customHeight="true" outlineLevel="0" collapsed="false">
      <c r="A8" s="53" t="s">
        <v>89</v>
      </c>
      <c r="B8" s="53" t="s">
        <v>90</v>
      </c>
      <c r="C8" s="13" t="n">
        <f aca="false">$D$3</f>
        <v>495</v>
      </c>
      <c r="D8" s="54" t="n">
        <v>0</v>
      </c>
      <c r="E8" s="15" t="str">
        <f aca="false">IF(D8=0,"⏳ Pending",IF(D8&gt;=C8,"✅ Received","⚠️ Short — check with SUSI"))</f>
        <v>⏳ Pending</v>
      </c>
    </row>
    <row r="9" customFormat="false" ht="19.5" hidden="false" customHeight="true" outlineLevel="0" collapsed="false">
      <c r="A9" s="55" t="s">
        <v>91</v>
      </c>
      <c r="B9" s="55" t="s">
        <v>92</v>
      </c>
      <c r="C9" s="18" t="n">
        <f aca="false">$D$3</f>
        <v>495</v>
      </c>
      <c r="D9" s="54" t="n">
        <v>0</v>
      </c>
      <c r="E9" s="20" t="str">
        <f aca="false">IF(D9=0,"⏳ Pending",IF(D9&gt;=C9,"✅ Received","⚠️ Short — check with SUSI"))</f>
        <v>⏳ Pending</v>
      </c>
    </row>
    <row r="10" customFormat="false" ht="19.5" hidden="false" customHeight="true" outlineLevel="0" collapsed="false">
      <c r="A10" s="53" t="s">
        <v>93</v>
      </c>
      <c r="B10" s="53" t="s">
        <v>94</v>
      </c>
      <c r="C10" s="13" t="n">
        <f aca="false">$D$3</f>
        <v>495</v>
      </c>
      <c r="D10" s="54" t="n">
        <v>0</v>
      </c>
      <c r="E10" s="15" t="str">
        <f aca="false">IF(D10=0,"⏳ Pending",IF(D10&gt;=C10,"✅ Received","⚠️ Short — check with SUSI"))</f>
        <v>⏳ Pending</v>
      </c>
    </row>
    <row r="11" customFormat="false" ht="19.5" hidden="false" customHeight="true" outlineLevel="0" collapsed="false">
      <c r="A11" s="55" t="s">
        <v>95</v>
      </c>
      <c r="B11" s="55" t="s">
        <v>96</v>
      </c>
      <c r="C11" s="18" t="n">
        <f aca="false">$D$3</f>
        <v>495</v>
      </c>
      <c r="D11" s="54" t="n">
        <v>0</v>
      </c>
      <c r="E11" s="20" t="str">
        <f aca="false">IF(D11=0,"⏳ Pending",IF(D11&gt;=C11,"✅ Received","⚠️ Short — check with SUSI"))</f>
        <v>⏳ Pending</v>
      </c>
    </row>
    <row r="12" customFormat="false" ht="19.5" hidden="false" customHeight="true" outlineLevel="0" collapsed="false">
      <c r="A12" s="53" t="s">
        <v>97</v>
      </c>
      <c r="B12" s="53" t="s">
        <v>98</v>
      </c>
      <c r="C12" s="13" t="n">
        <f aca="false">$D$3</f>
        <v>495</v>
      </c>
      <c r="D12" s="54" t="n">
        <v>0</v>
      </c>
      <c r="E12" s="15" t="str">
        <f aca="false">IF(D12=0,"⏳ Pending",IF(D12&gt;=C12,"✅ Received","⚠️ Short — check with SUSI"))</f>
        <v>⏳ Pending</v>
      </c>
    </row>
    <row r="13" customFormat="false" ht="19.5" hidden="false" customHeight="true" outlineLevel="0" collapsed="false">
      <c r="A13" s="55" t="s">
        <v>99</v>
      </c>
      <c r="B13" s="55" t="s">
        <v>100</v>
      </c>
      <c r="C13" s="18" t="n">
        <f aca="false">$D$3</f>
        <v>495</v>
      </c>
      <c r="D13" s="54" t="n">
        <v>0</v>
      </c>
      <c r="E13" s="20" t="str">
        <f aca="false">IF(D13=0,"⏳ Pending",IF(D13&gt;=C13,"✅ Received","⚠️ Short — check with SUSI"))</f>
        <v>⏳ Pending</v>
      </c>
    </row>
    <row r="14" customFormat="false" ht="19.5" hidden="false" customHeight="true" outlineLevel="0" collapsed="false">
      <c r="A14" s="53" t="s">
        <v>101</v>
      </c>
      <c r="B14" s="53" t="s">
        <v>102</v>
      </c>
      <c r="C14" s="13" t="n">
        <f aca="false">$D$3</f>
        <v>495</v>
      </c>
      <c r="D14" s="54" t="n">
        <v>0</v>
      </c>
      <c r="E14" s="15" t="str">
        <f aca="false">IF(D14=0,"⏳ Pending",IF(D14&gt;=C14,"✅ Received","⚠️ Short — check with SUSI"))</f>
        <v>⏳ Pending</v>
      </c>
    </row>
    <row r="15" customFormat="false" ht="25.5" hidden="false" customHeight="true" outlineLevel="0" collapsed="false">
      <c r="A15" s="56" t="s">
        <v>103</v>
      </c>
      <c r="B15" s="56"/>
      <c r="C15" s="52" t="n">
        <f aca="false">SUM(C6:C14)</f>
        <v>4455</v>
      </c>
      <c r="D15" s="52" t="n">
        <f aca="false">SUM(D6:D14)</f>
        <v>0</v>
      </c>
    </row>
  </sheetData>
  <mergeCells count="3">
    <mergeCell ref="A1:E1"/>
    <mergeCell ref="A2:E2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30"/>
  </cols>
  <sheetData>
    <row r="1" customFormat="false" ht="36" hidden="false" customHeight="true" outlineLevel="0" collapsed="false">
      <c r="A1" s="21" t="s">
        <v>104</v>
      </c>
      <c r="B1" s="21"/>
      <c r="C1" s="21"/>
    </row>
    <row r="2" customFormat="false" ht="27.75" hidden="false" customHeight="true" outlineLevel="0" collapsed="false">
      <c r="A2" s="57" t="s">
        <v>105</v>
      </c>
      <c r="B2" s="58" t="s">
        <v>106</v>
      </c>
      <c r="C2" s="59" t="s">
        <v>107</v>
      </c>
    </row>
    <row r="3" customFormat="false" ht="27.75" hidden="false" customHeight="true" outlineLevel="0" collapsed="false">
      <c r="A3" s="30" t="s">
        <v>108</v>
      </c>
      <c r="B3" s="60" t="s">
        <v>109</v>
      </c>
      <c r="C3" s="61" t="s">
        <v>110</v>
      </c>
    </row>
    <row r="4" customFormat="false" ht="27.75" hidden="false" customHeight="true" outlineLevel="0" collapsed="false">
      <c r="A4" s="26" t="s">
        <v>111</v>
      </c>
      <c r="B4" s="60" t="s">
        <v>112</v>
      </c>
      <c r="C4" s="62" t="s">
        <v>113</v>
      </c>
    </row>
    <row r="5" customFormat="false" ht="27.75" hidden="false" customHeight="true" outlineLevel="0" collapsed="false">
      <c r="A5" s="30" t="s">
        <v>114</v>
      </c>
      <c r="B5" s="60" t="s">
        <v>115</v>
      </c>
      <c r="C5" s="61" t="s">
        <v>116</v>
      </c>
    </row>
    <row r="6" customFormat="false" ht="27.75" hidden="false" customHeight="true" outlineLevel="0" collapsed="false">
      <c r="A6" s="26" t="s">
        <v>117</v>
      </c>
      <c r="B6" s="60" t="s">
        <v>118</v>
      </c>
      <c r="C6" s="62" t="s">
        <v>119</v>
      </c>
    </row>
    <row r="7" customFormat="false" ht="27.75" hidden="false" customHeight="true" outlineLevel="0" collapsed="false">
      <c r="A7" s="30" t="s">
        <v>120</v>
      </c>
      <c r="B7" s="60" t="s">
        <v>121</v>
      </c>
      <c r="C7" s="61" t="s">
        <v>122</v>
      </c>
    </row>
    <row r="8" customFormat="false" ht="27.75" hidden="false" customHeight="true" outlineLevel="0" collapsed="false">
      <c r="A8" s="26" t="s">
        <v>123</v>
      </c>
      <c r="B8" s="60" t="s">
        <v>124</v>
      </c>
      <c r="C8" s="62" t="s">
        <v>125</v>
      </c>
    </row>
    <row r="9" customFormat="false" ht="27.75" hidden="false" customHeight="true" outlineLevel="0" collapsed="false">
      <c r="A9" s="30" t="s">
        <v>126</v>
      </c>
      <c r="B9" s="60" t="s">
        <v>127</v>
      </c>
      <c r="C9" s="61" t="s">
        <v>128</v>
      </c>
    </row>
    <row r="10" customFormat="false" ht="27.75" hidden="false" customHeight="true" outlineLevel="0" collapsed="false">
      <c r="A10" s="26" t="s">
        <v>129</v>
      </c>
      <c r="B10" s="60" t="s">
        <v>130</v>
      </c>
      <c r="C10" s="62" t="s">
        <v>131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3" min="3" style="0" width="30"/>
  </cols>
  <sheetData>
    <row r="1" customFormat="false" ht="39.75" hidden="false" customHeight="true" outlineLevel="0" collapsed="false">
      <c r="A1" s="21" t="s">
        <v>132</v>
      </c>
      <c r="B1" s="21"/>
      <c r="C1" s="21"/>
    </row>
    <row r="3" customFormat="false" ht="9.75" hidden="false" customHeight="true" outlineLevel="0" collapsed="false"/>
    <row r="4" customFormat="false" ht="27.75" hidden="false" customHeight="true" outlineLevel="0" collapsed="false">
      <c r="A4" s="63" t="s">
        <v>133</v>
      </c>
      <c r="B4" s="63"/>
      <c r="C4" s="63"/>
    </row>
    <row r="5" customFormat="false" ht="31.5" hidden="false" customHeight="true" outlineLevel="0" collapsed="false">
      <c r="A5" s="64" t="s">
        <v>134</v>
      </c>
      <c r="B5" s="65" t="s">
        <v>135</v>
      </c>
      <c r="C5" s="65"/>
    </row>
    <row r="6" customFormat="false" ht="31.5" hidden="false" customHeight="true" outlineLevel="0" collapsed="false">
      <c r="A6" s="64" t="s">
        <v>134</v>
      </c>
      <c r="B6" s="65" t="s">
        <v>136</v>
      </c>
      <c r="C6" s="65"/>
    </row>
    <row r="7" customFormat="false" ht="31.5" hidden="false" customHeight="true" outlineLevel="0" collapsed="false">
      <c r="A7" s="64" t="s">
        <v>134</v>
      </c>
      <c r="B7" s="65" t="s">
        <v>137</v>
      </c>
      <c r="C7" s="65"/>
    </row>
    <row r="8" customFormat="false" ht="31.5" hidden="false" customHeight="true" outlineLevel="0" collapsed="false">
      <c r="A8" s="64" t="s">
        <v>134</v>
      </c>
      <c r="B8" s="65" t="s">
        <v>138</v>
      </c>
      <c r="C8" s="65"/>
    </row>
    <row r="10" customFormat="false" ht="9.75" hidden="false" customHeight="true" outlineLevel="0" collapsed="false"/>
    <row r="11" customFormat="false" ht="27.75" hidden="false" customHeight="true" outlineLevel="0" collapsed="false">
      <c r="A11" s="63" t="s">
        <v>139</v>
      </c>
      <c r="B11" s="63"/>
      <c r="C11" s="63"/>
    </row>
    <row r="12" customFormat="false" ht="31.5" hidden="false" customHeight="true" outlineLevel="0" collapsed="false">
      <c r="A12" s="64" t="s">
        <v>134</v>
      </c>
      <c r="B12" s="65" t="s">
        <v>140</v>
      </c>
      <c r="C12" s="65"/>
    </row>
    <row r="13" customFormat="false" ht="31.5" hidden="false" customHeight="true" outlineLevel="0" collapsed="false">
      <c r="A13" s="64" t="s">
        <v>134</v>
      </c>
      <c r="B13" s="65" t="s">
        <v>141</v>
      </c>
      <c r="C13" s="65"/>
    </row>
    <row r="14" customFormat="false" ht="31.5" hidden="false" customHeight="true" outlineLevel="0" collapsed="false">
      <c r="A14" s="64" t="s">
        <v>134</v>
      </c>
      <c r="B14" s="65" t="s">
        <v>142</v>
      </c>
      <c r="C14" s="65"/>
    </row>
    <row r="15" customFormat="false" ht="31.5" hidden="false" customHeight="true" outlineLevel="0" collapsed="false">
      <c r="A15" s="64" t="s">
        <v>134</v>
      </c>
      <c r="B15" s="65" t="s">
        <v>143</v>
      </c>
      <c r="C15" s="65"/>
    </row>
    <row r="17" customFormat="false" ht="9.75" hidden="false" customHeight="true" outlineLevel="0" collapsed="false"/>
    <row r="18" customFormat="false" ht="27.75" hidden="false" customHeight="true" outlineLevel="0" collapsed="false">
      <c r="A18" s="63" t="s">
        <v>144</v>
      </c>
      <c r="B18" s="63"/>
      <c r="C18" s="63"/>
    </row>
    <row r="19" customFormat="false" ht="31.5" hidden="false" customHeight="true" outlineLevel="0" collapsed="false">
      <c r="A19" s="64" t="s">
        <v>134</v>
      </c>
      <c r="B19" s="65" t="s">
        <v>145</v>
      </c>
      <c r="C19" s="65"/>
    </row>
    <row r="20" customFormat="false" ht="31.5" hidden="false" customHeight="true" outlineLevel="0" collapsed="false">
      <c r="A20" s="64" t="s">
        <v>134</v>
      </c>
      <c r="B20" s="65" t="s">
        <v>146</v>
      </c>
      <c r="C20" s="65"/>
    </row>
    <row r="21" customFormat="false" ht="31.5" hidden="false" customHeight="true" outlineLevel="0" collapsed="false">
      <c r="A21" s="64" t="s">
        <v>134</v>
      </c>
      <c r="B21" s="65" t="s">
        <v>147</v>
      </c>
      <c r="C21" s="65"/>
    </row>
    <row r="22" customFormat="false" ht="31.5" hidden="false" customHeight="true" outlineLevel="0" collapsed="false">
      <c r="A22" s="64" t="s">
        <v>134</v>
      </c>
      <c r="B22" s="65" t="s">
        <v>148</v>
      </c>
      <c r="C22" s="65"/>
    </row>
    <row r="23" customFormat="false" ht="31.5" hidden="false" customHeight="true" outlineLevel="0" collapsed="false">
      <c r="A23" s="64" t="s">
        <v>134</v>
      </c>
      <c r="B23" s="65" t="s">
        <v>149</v>
      </c>
      <c r="C23" s="65"/>
    </row>
    <row r="25" customFormat="false" ht="9.75" hidden="false" customHeight="true" outlineLevel="0" collapsed="false"/>
    <row r="26" customFormat="false" ht="30" hidden="false" customHeight="true" outlineLevel="0" collapsed="false">
      <c r="A26" s="66" t="s">
        <v>150</v>
      </c>
      <c r="B26" s="66"/>
      <c r="C26" s="66"/>
    </row>
  </sheetData>
  <mergeCells count="18">
    <mergeCell ref="A1:C1"/>
    <mergeCell ref="A4:C4"/>
    <mergeCell ref="B5:C5"/>
    <mergeCell ref="B6:C6"/>
    <mergeCell ref="B7:C7"/>
    <mergeCell ref="B8:C8"/>
    <mergeCell ref="A11:C11"/>
    <mergeCell ref="B12:C12"/>
    <mergeCell ref="B13:C13"/>
    <mergeCell ref="B14:C14"/>
    <mergeCell ref="B15:C15"/>
    <mergeCell ref="A18:C18"/>
    <mergeCell ref="B19:C19"/>
    <mergeCell ref="B20:C20"/>
    <mergeCell ref="B21:C21"/>
    <mergeCell ref="B22:C22"/>
    <mergeCell ref="B23:C23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2026-04-14T05:10:42Z</dcterms:created>
  <dc:creator>openpyxl</dc:creator>
  <dc:description/>
  <dc:language>en-US</dc:language>
  <cp:lastModifiedBy/>
  <dcterms:modified xsi:type="dcterms:W3CDTF">2026-04-14T05:10:42Z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